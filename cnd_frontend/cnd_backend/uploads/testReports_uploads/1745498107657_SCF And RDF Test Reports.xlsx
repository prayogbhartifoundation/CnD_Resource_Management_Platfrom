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oenviro-my.sharepoint.com/personal/jagadiswar_ghosh_everenviro_com/Documents/Desktop/"/>
    </mc:Choice>
  </mc:AlternateContent>
  <xr:revisionPtr revIDLastSave="246" documentId="8_{704CEA7A-72E1-4565-85D9-7A2F4EC13A96}" xr6:coauthVersionLast="47" xr6:coauthVersionMax="47" xr10:uidLastSave="{32D1756E-8FB3-4895-9FA9-C77AE8B1982A}"/>
  <bookViews>
    <workbookView xWindow="-120" yWindow="-120" windowWidth="20730" windowHeight="11040" xr2:uid="{029C6204-EA16-4962-9854-01FB7C0FFB01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1" l="1"/>
</calcChain>
</file>

<file path=xl/sharedStrings.xml><?xml version="1.0" encoding="utf-8"?>
<sst xmlns="http://schemas.openxmlformats.org/spreadsheetml/2006/main" count="213" uniqueCount="151">
  <si>
    <t>S.No</t>
  </si>
  <si>
    <t>Unit</t>
  </si>
  <si>
    <t>S. No</t>
  </si>
  <si>
    <t>Parameters</t>
  </si>
  <si>
    <t>SCF</t>
  </si>
  <si>
    <t>RDF - Grade III</t>
  </si>
  <si>
    <t>RDF - Grade II</t>
  </si>
  <si>
    <t>RDF -Grade I</t>
  </si>
  <si>
    <r>
      <t>Intended Use</t>
    </r>
    <r>
      <rPr>
        <vertAlign val="superscript"/>
        <sz val="9.5"/>
        <color theme="1"/>
        <rFont val="Times New Roman"/>
        <family val="1"/>
      </rPr>
      <t>$</t>
    </r>
  </si>
  <si>
    <t>Input material for the Waste to Energy plant or RDF pre-processing facility</t>
  </si>
  <si>
    <t>For co-processing directly or after processing with other waste materials in cement kiln</t>
  </si>
  <si>
    <t>For direct co- processing in cement kiln</t>
  </si>
  <si>
    <t>For direct co-processing in cement kiln</t>
  </si>
  <si>
    <t>Grade III</t>
  </si>
  <si>
    <t>Grade II</t>
  </si>
  <si>
    <t>Grade I</t>
  </si>
  <si>
    <t>Size</t>
  </si>
  <si>
    <t>Anything above 400mm has to be mutually agreed between Urban Local Body/ SCF Supplier and Cement Plants.</t>
  </si>
  <si>
    <t>&lt;50 mm or &lt; 20 mm depending upon use in ILC or SLC, respectively</t>
  </si>
  <si>
    <t>Ash – maximum permissible</t>
  </si>
  <si>
    <t>Moisture – maximum permissible</t>
  </si>
  <si>
    <t>Chlorine – maximum permissible</t>
  </si>
  <si>
    <t>Sulphur – maximum permissible</t>
  </si>
  <si>
    <t>* Net Calorific Value (NCV) – in Kcal/kg</t>
  </si>
  <si>
    <t>(Average figure of every individual consignment)</t>
  </si>
  <si>
    <t>Any other parameter</t>
  </si>
  <si>
    <t>&lt;20 %#</t>
  </si>
  <si>
    <t>&lt;35 %</t>
  </si>
  <si>
    <t>&lt; 1.0 % #</t>
  </si>
  <si>
    <t>&lt;1.5 % #</t>
  </si>
  <si>
    <t>&gt; 1500 KCal/kg net</t>
  </si>
  <si>
    <t>SCF – any offensive odour to be controlled. **</t>
  </si>
  <si>
    <t>&lt;15 %</t>
  </si>
  <si>
    <t>&lt;10 %</t>
  </si>
  <si>
    <t>&lt; 20%</t>
  </si>
  <si>
    <t>&lt;10%</t>
  </si>
  <si>
    <t>&lt; 1.0 %</t>
  </si>
  <si>
    <t>&lt; 0.7</t>
  </si>
  <si>
    <t>&lt; 0.5</t>
  </si>
  <si>
    <t>&lt;1.5 %</t>
  </si>
  <si>
    <t>&gt;3000 KCal/kg net</t>
  </si>
  <si>
    <t>&gt;3750 KCal/kg net</t>
  </si>
  <si>
    <t>&gt; 4500 KCal/kg net</t>
  </si>
  <si>
    <t>RDF – any offensive odour to be controlled.</t>
  </si>
  <si>
    <t>Proposed Standards for SCF and RDF</t>
  </si>
  <si>
    <t>Results</t>
  </si>
  <si>
    <t>Test Method</t>
  </si>
  <si>
    <t>Test Parameters</t>
  </si>
  <si>
    <t>Proximate Analysis</t>
  </si>
  <si>
    <t>Moisture Content</t>
  </si>
  <si>
    <t>Total Ash</t>
  </si>
  <si>
    <t>%</t>
  </si>
  <si>
    <t>ASTM D3173-87-1996</t>
  </si>
  <si>
    <t>Volatile Matter</t>
  </si>
  <si>
    <t>Fixed Carbon</t>
  </si>
  <si>
    <t>Ultimate Analysis</t>
  </si>
  <si>
    <t>Carbon Content</t>
  </si>
  <si>
    <t>Hydrogen</t>
  </si>
  <si>
    <t>Sulphur</t>
  </si>
  <si>
    <t>Oxygen</t>
  </si>
  <si>
    <t>Nitrogen</t>
  </si>
  <si>
    <t>Other Parameters</t>
  </si>
  <si>
    <t>Cal/gm</t>
  </si>
  <si>
    <t>ASTM D3174-97</t>
  </si>
  <si>
    <t>ASTM D3175-89a-1997</t>
  </si>
  <si>
    <t>ASTM D3172-89-1997</t>
  </si>
  <si>
    <t>ASTM D3178-89-1997</t>
  </si>
  <si>
    <t>ASTM D 3178-89-1997</t>
  </si>
  <si>
    <t>ASTM D3177-89-1997</t>
  </si>
  <si>
    <t>ASTM D3176-89-1997</t>
  </si>
  <si>
    <t>ASTM D 3179-89-1997</t>
  </si>
  <si>
    <t>ASTM D5865-99A</t>
  </si>
  <si>
    <t>RDF PHYSICAL SEGREGATION REPORT</t>
  </si>
  <si>
    <t>Type of Waste</t>
  </si>
  <si>
    <t>Total Weight (KG)</t>
  </si>
  <si>
    <t>Percentage (%)</t>
  </si>
  <si>
    <t>Kitchen Waste</t>
  </si>
  <si>
    <t>Vegetable chilka/Maiz Chhilka</t>
  </si>
  <si>
    <t>Fruits chhilka</t>
  </si>
  <si>
    <t>Flowers</t>
  </si>
  <si>
    <t>Dry Suger canes</t>
  </si>
  <si>
    <t>Green Leaves/Green Matter</t>
  </si>
  <si>
    <t>Dry Leaves/Dry Matter</t>
  </si>
  <si>
    <t>Straw/Hey</t>
  </si>
  <si>
    <t>Coconut Shell/Hair</t>
  </si>
  <si>
    <t>Broom</t>
  </si>
  <si>
    <t>Wooden Pieces</t>
  </si>
  <si>
    <t>Cardboard(Wooden)</t>
  </si>
  <si>
    <t>Papee/Card board</t>
  </si>
  <si>
    <t>Taxtile/cotton/jute</t>
  </si>
  <si>
    <t>Human Hair</t>
  </si>
  <si>
    <t>Rubber/Leather/Tyre</t>
  </si>
  <si>
    <t>Polythene/Plastic</t>
  </si>
  <si>
    <t>PVC</t>
  </si>
  <si>
    <t>Thermocol</t>
  </si>
  <si>
    <t>Metals</t>
  </si>
  <si>
    <t>Glass</t>
  </si>
  <si>
    <t>Ceramic and Other</t>
  </si>
  <si>
    <t>Inter and other</t>
  </si>
  <si>
    <t>Sand/Soil/earth</t>
  </si>
  <si>
    <t>Stones/brick/concrete</t>
  </si>
  <si>
    <t>Batteries</t>
  </si>
  <si>
    <t>Hazardous waste (if any)</t>
  </si>
  <si>
    <t>Total Sample (KG)</t>
  </si>
  <si>
    <t>Grossn Calorific Value (On Air Dry Basis)</t>
  </si>
  <si>
    <t>Net Calorific Value (OnAir Dry Basis)</t>
  </si>
  <si>
    <t>GCV (On Recevid basis)</t>
  </si>
  <si>
    <t>NCV (On Recevid basis )</t>
  </si>
  <si>
    <t>Chloride (as C1)</t>
  </si>
  <si>
    <r>
      <t>Silica (as Si0</t>
    </r>
    <r>
      <rPr>
        <vertAlign val="subscript"/>
        <sz val="9.5"/>
        <color theme="1"/>
        <rFont val="Times New Roman"/>
        <family val="1"/>
      </rPr>
      <t>2</t>
    </r>
    <r>
      <rPr>
        <sz val="9.5"/>
        <color theme="1"/>
        <rFont val="Times New Roman"/>
        <family val="1"/>
      </rPr>
      <t>)</t>
    </r>
  </si>
  <si>
    <r>
      <t>Sulphate (SO</t>
    </r>
    <r>
      <rPr>
        <vertAlign val="subscript"/>
        <sz val="9.5"/>
        <color theme="1"/>
        <rFont val="Times New Roman"/>
        <family val="1"/>
      </rPr>
      <t>4</t>
    </r>
    <r>
      <rPr>
        <sz val="9.5"/>
        <color theme="1"/>
        <rFont val="Times New Roman"/>
        <family val="1"/>
      </rPr>
      <t xml:space="preserve"> )</t>
    </r>
  </si>
  <si>
    <t>Phosphate (as P)</t>
  </si>
  <si>
    <r>
      <t>Sodium (as Na</t>
    </r>
    <r>
      <rPr>
        <vertAlign val="subscript"/>
        <sz val="9.5"/>
        <color theme="1"/>
        <rFont val="Times New Roman"/>
        <family val="1"/>
      </rPr>
      <t xml:space="preserve">2 </t>
    </r>
    <r>
      <rPr>
        <sz val="14"/>
        <color theme="1"/>
        <rFont val="Times New Roman"/>
        <family val="1"/>
      </rPr>
      <t>o</t>
    </r>
    <r>
      <rPr>
        <sz val="9.5"/>
        <color theme="1"/>
        <rFont val="Times New Roman"/>
        <family val="1"/>
      </rPr>
      <t xml:space="preserve"> )</t>
    </r>
  </si>
  <si>
    <r>
      <t>Potassium (asK</t>
    </r>
    <r>
      <rPr>
        <vertAlign val="subscript"/>
        <sz val="9.5"/>
        <color theme="1"/>
        <rFont val="Times New Roman"/>
        <family val="1"/>
      </rPr>
      <t xml:space="preserve">2 </t>
    </r>
    <r>
      <rPr>
        <sz val="9.5"/>
        <color theme="1"/>
        <rFont val="Times New Roman"/>
        <family val="1"/>
      </rPr>
      <t>O )</t>
    </r>
  </si>
  <si>
    <t>Total Solid Substances</t>
  </si>
  <si>
    <t>Arsenic (as As)</t>
  </si>
  <si>
    <t>Selenium (as Se)</t>
  </si>
  <si>
    <t>Zinc (as Zn)</t>
  </si>
  <si>
    <t>Iron (as Zn)</t>
  </si>
  <si>
    <t>Magnesium (as Mg)</t>
  </si>
  <si>
    <t>Nickl (as Ni)</t>
  </si>
  <si>
    <t>Cadmium (as Cd)</t>
  </si>
  <si>
    <t>Copper (as Cu)</t>
  </si>
  <si>
    <t>Mercury (as Hg)</t>
  </si>
  <si>
    <t>Lead (as pb)</t>
  </si>
  <si>
    <t>Chromium (as Cr)</t>
  </si>
  <si>
    <t>Titanium (as TiO2)</t>
  </si>
  <si>
    <t>Calcium (as CaO)</t>
  </si>
  <si>
    <t>Loos Of Ignition</t>
  </si>
  <si>
    <t>C/N Ration</t>
  </si>
  <si>
    <t>Organic Carbon</t>
  </si>
  <si>
    <t>EPA SW 846-9253</t>
  </si>
  <si>
    <t>mg/kg</t>
  </si>
  <si>
    <t>-</t>
  </si>
  <si>
    <t>USEPA 6010C-2007</t>
  </si>
  <si>
    <t>EPA SW 846-9038</t>
  </si>
  <si>
    <t>IS 10158-1982</t>
  </si>
  <si>
    <t>BDL (DL=5.0)</t>
  </si>
  <si>
    <t>BDL (DL=1.0)</t>
  </si>
  <si>
    <t>BDL (DL=3.0)</t>
  </si>
  <si>
    <t>BDL (DL=0.5)</t>
  </si>
  <si>
    <t>BDL( DL=2.0)</t>
  </si>
  <si>
    <t>EPA SW 846-1010</t>
  </si>
  <si>
    <t>By Calculation</t>
  </si>
  <si>
    <t>IS 2720(P-22)-1972</t>
  </si>
  <si>
    <t>A</t>
  </si>
  <si>
    <t>B</t>
  </si>
  <si>
    <t>C</t>
  </si>
  <si>
    <t>***End of Report ***</t>
  </si>
  <si>
    <t>M/S Uttar Dilli C&amp;D Waste Recycling Pvt.Ltd / RDF Sample For C&amp;D Waste - 1330.44 kg,16/12/2024 ( TEST REPORT )</t>
  </si>
  <si>
    <t>***Reports End***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</si>
</sst>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Times New Roman"/>
      <family val="1"/>
    </font>
    <font>
      <sz val="9.5"/>
      <color theme="1"/>
      <name val="Times New Roman"/>
      <family val="1"/>
    </font>
    <font>
      <vertAlign val="superscript"/>
      <sz val="9.5"/>
      <color theme="1"/>
      <name val="Times New Roman"/>
      <family val="1"/>
    </font>
    <font>
      <sz val="10.5"/>
      <color theme="1"/>
      <name val="Times New Roman"/>
      <family val="1"/>
    </font>
    <font>
      <b/>
      <sz val="9"/>
      <color theme="1"/>
      <name val="Times New Roman"/>
      <family val="1"/>
    </font>
    <font>
      <b/>
      <sz val="9.5"/>
      <color theme="1"/>
      <name val="Times New Roman"/>
      <family val="1"/>
    </font>
    <font>
      <vertAlign val="subscript"/>
      <sz val="9.5"/>
      <color theme="1"/>
      <name val="Times New Roman"/>
      <family val="1"/>
    </font>
    <font>
      <sz val="14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/>
    </xf>
    <xf numFmtId="0" fontId="6" fillId="2" borderId="0" xfId="0" applyFont="1" applyFill="1" applyBorder="1" applyAlignment="1">
      <alignment horizontal="left" vertical="center" wrapText="1"/>
    </xf>
    <xf numFmtId="0" fontId="0" fillId="0" borderId="0" xfId="0" applyBorder="1"/>
    <xf numFmtId="0" fontId="1" fillId="0" borderId="0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1" fillId="0" borderId="1" xfId="0" applyFont="1" applyBorder="1"/>
    <xf numFmtId="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Fill="1" applyBorder="1" applyAlignment="1">
      <alignment horizontal="center"/>
    </xf>
    <xf numFmtId="0" fontId="7" fillId="0" borderId="2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wrapText="1"/>
    </xf>
    <xf numFmtId="0" fontId="1" fillId="0" borderId="0" xfId="0" applyFont="1" applyBorder="1" applyAlignment="1">
      <alignment vertical="center"/>
    </xf>
    <xf numFmtId="0" fontId="1" fillId="0" borderId="7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left" vertical="center"/>
    </xf>
    <xf numFmtId="0" fontId="10" fillId="0" borderId="2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C7043-1DF5-4823-9C18-DD65E84B54CF}">
  <dimension ref="A1:L47"/>
  <sheetViews>
    <sheetView tabSelected="1" workbookViewId="0">
      <selection activeCell="I4" sqref="I4"/>
    </sheetView>
  </sheetViews>
  <sheetFormatPr defaultRowHeight="15" x14ac:dyDescent="0.25"/>
  <cols>
    <col min="1" max="1" width="5.28515625" customWidth="1"/>
    <col min="2" max="2" width="32.85546875" customWidth="1"/>
    <col min="3" max="3" width="27.140625" customWidth="1"/>
    <col min="4" max="4" width="23.140625" customWidth="1"/>
    <col min="5" max="5" width="23.28515625" customWidth="1"/>
    <col min="6" max="6" width="24.7109375" customWidth="1"/>
    <col min="7" max="7" width="3" customWidth="1"/>
    <col min="8" max="8" width="6" customWidth="1"/>
    <col min="9" max="9" width="22.5703125" customWidth="1"/>
    <col min="10" max="10" width="8.42578125" customWidth="1"/>
    <col min="11" max="11" width="14" customWidth="1"/>
    <col min="12" max="12" width="27.7109375" customWidth="1"/>
  </cols>
  <sheetData>
    <row r="1" spans="1:12" ht="37.5" customHeight="1" x14ac:dyDescent="0.25">
      <c r="A1" s="25" t="s">
        <v>44</v>
      </c>
      <c r="B1" s="25"/>
      <c r="C1" s="25"/>
      <c r="D1" s="25"/>
      <c r="E1" s="25"/>
      <c r="F1" s="25"/>
      <c r="G1" s="26"/>
      <c r="H1" s="22" t="s">
        <v>149</v>
      </c>
      <c r="I1" s="23"/>
      <c r="J1" s="23"/>
      <c r="K1" s="23"/>
      <c r="L1" s="24"/>
    </row>
    <row r="2" spans="1:12" ht="20.25" customHeight="1" x14ac:dyDescent="0.25">
      <c r="A2" s="36" t="s">
        <v>2</v>
      </c>
      <c r="B2" s="36" t="s">
        <v>3</v>
      </c>
      <c r="C2" s="36" t="s">
        <v>4</v>
      </c>
      <c r="D2" s="36" t="s">
        <v>5</v>
      </c>
      <c r="E2" s="36" t="s">
        <v>6</v>
      </c>
      <c r="F2" s="36" t="s">
        <v>7</v>
      </c>
      <c r="G2" s="26"/>
      <c r="H2" s="35" t="s">
        <v>0</v>
      </c>
      <c r="I2" s="18" t="s">
        <v>47</v>
      </c>
      <c r="J2" s="44" t="s">
        <v>1</v>
      </c>
      <c r="K2" s="44" t="s">
        <v>45</v>
      </c>
      <c r="L2" s="44" t="s">
        <v>46</v>
      </c>
    </row>
    <row r="3" spans="1:12" ht="18" customHeight="1" x14ac:dyDescent="0.25">
      <c r="A3" s="37"/>
      <c r="B3" s="37"/>
      <c r="C3" s="37"/>
      <c r="D3" s="37"/>
      <c r="E3" s="37"/>
      <c r="F3" s="37"/>
      <c r="G3" s="15"/>
      <c r="H3" s="41" t="s">
        <v>145</v>
      </c>
      <c r="I3" s="43" t="s">
        <v>48</v>
      </c>
      <c r="J3" s="42"/>
      <c r="K3" s="42"/>
      <c r="L3" s="45"/>
    </row>
    <row r="4" spans="1:12" s="48" customFormat="1" ht="44.25" customHeight="1" x14ac:dyDescent="0.25">
      <c r="A4" s="39">
        <v>1</v>
      </c>
      <c r="B4" s="3" t="s">
        <v>8</v>
      </c>
      <c r="C4" s="5" t="s">
        <v>9</v>
      </c>
      <c r="D4" s="5" t="s">
        <v>10</v>
      </c>
      <c r="E4" s="5" t="s">
        <v>11</v>
      </c>
      <c r="F4" s="5" t="s">
        <v>12</v>
      </c>
      <c r="G4" s="29"/>
      <c r="H4" s="5">
        <v>1</v>
      </c>
      <c r="I4" s="19" t="s">
        <v>49</v>
      </c>
      <c r="J4" s="39" t="s">
        <v>51</v>
      </c>
      <c r="K4" s="39">
        <v>26.25</v>
      </c>
      <c r="L4" s="39" t="s">
        <v>52</v>
      </c>
    </row>
    <row r="5" spans="1:12" x14ac:dyDescent="0.25">
      <c r="A5" s="4">
        <v>2</v>
      </c>
      <c r="B5" s="4"/>
      <c r="C5" s="4"/>
      <c r="D5" s="7" t="s">
        <v>13</v>
      </c>
      <c r="E5" s="7" t="s">
        <v>14</v>
      </c>
      <c r="F5" s="7" t="s">
        <v>15</v>
      </c>
      <c r="G5" s="27"/>
      <c r="H5" s="38">
        <v>2</v>
      </c>
      <c r="I5" s="19" t="s">
        <v>50</v>
      </c>
      <c r="J5" s="11" t="s">
        <v>51</v>
      </c>
      <c r="K5" s="11">
        <v>24.16</v>
      </c>
      <c r="L5" s="11" t="s">
        <v>63</v>
      </c>
    </row>
    <row r="6" spans="1:12" ht="51.75" x14ac:dyDescent="0.25">
      <c r="A6" s="4">
        <v>3</v>
      </c>
      <c r="B6" s="3" t="s">
        <v>16</v>
      </c>
      <c r="C6" s="8" t="s">
        <v>17</v>
      </c>
      <c r="D6" s="9" t="s">
        <v>18</v>
      </c>
      <c r="E6" s="9"/>
      <c r="F6" s="9"/>
      <c r="G6" s="28"/>
      <c r="H6" s="8">
        <v>3</v>
      </c>
      <c r="I6" s="19" t="s">
        <v>53</v>
      </c>
      <c r="J6" s="11" t="s">
        <v>51</v>
      </c>
      <c r="K6" s="11">
        <v>22.6</v>
      </c>
      <c r="L6" s="11" t="s">
        <v>64</v>
      </c>
    </row>
    <row r="7" spans="1:12" x14ac:dyDescent="0.25">
      <c r="A7" s="5">
        <v>3</v>
      </c>
      <c r="B7" s="5" t="s">
        <v>19</v>
      </c>
      <c r="C7" s="5" t="s">
        <v>26</v>
      </c>
      <c r="D7" s="5" t="s">
        <v>32</v>
      </c>
      <c r="E7" s="5" t="s">
        <v>33</v>
      </c>
      <c r="F7" s="5" t="s">
        <v>33</v>
      </c>
      <c r="G7" s="29"/>
      <c r="H7" s="5">
        <v>4</v>
      </c>
      <c r="I7" s="19" t="s">
        <v>54</v>
      </c>
      <c r="J7" s="11" t="s">
        <v>51</v>
      </c>
      <c r="K7" s="11">
        <v>26.99</v>
      </c>
      <c r="L7" s="11" t="s">
        <v>65</v>
      </c>
    </row>
    <row r="8" spans="1:12" x14ac:dyDescent="0.25">
      <c r="A8" s="5">
        <v>4</v>
      </c>
      <c r="B8" s="5" t="s">
        <v>20</v>
      </c>
      <c r="C8" s="5" t="s">
        <v>27</v>
      </c>
      <c r="D8" s="5" t="s">
        <v>34</v>
      </c>
      <c r="E8" s="5" t="s">
        <v>32</v>
      </c>
      <c r="F8" s="5" t="s">
        <v>35</v>
      </c>
      <c r="G8" s="29"/>
      <c r="H8" s="40" t="s">
        <v>146</v>
      </c>
      <c r="I8" s="20" t="s">
        <v>55</v>
      </c>
      <c r="J8" s="11"/>
      <c r="K8" s="11"/>
      <c r="L8" s="11"/>
    </row>
    <row r="9" spans="1:12" x14ac:dyDescent="0.25">
      <c r="A9" s="5">
        <v>5</v>
      </c>
      <c r="B9" s="5" t="s">
        <v>21</v>
      </c>
      <c r="C9" s="5" t="s">
        <v>28</v>
      </c>
      <c r="D9" s="5" t="s">
        <v>36</v>
      </c>
      <c r="E9" s="5" t="s">
        <v>37</v>
      </c>
      <c r="F9" s="5" t="s">
        <v>38</v>
      </c>
      <c r="G9" s="29"/>
      <c r="H9" s="5">
        <v>5</v>
      </c>
      <c r="I9" s="19" t="s">
        <v>49</v>
      </c>
      <c r="J9" s="11" t="s">
        <v>51</v>
      </c>
      <c r="K9" s="11">
        <v>26.25</v>
      </c>
      <c r="L9" s="11" t="s">
        <v>52</v>
      </c>
    </row>
    <row r="10" spans="1:12" x14ac:dyDescent="0.25">
      <c r="A10" s="5">
        <v>6</v>
      </c>
      <c r="B10" s="5" t="s">
        <v>22</v>
      </c>
      <c r="C10" s="5" t="s">
        <v>29</v>
      </c>
      <c r="D10" s="6" t="s">
        <v>39</v>
      </c>
      <c r="E10" s="6"/>
      <c r="F10" s="6"/>
      <c r="G10" s="29"/>
      <c r="H10" s="5">
        <v>6</v>
      </c>
      <c r="I10" s="19" t="s">
        <v>50</v>
      </c>
      <c r="J10" s="11" t="s">
        <v>51</v>
      </c>
      <c r="K10" s="11">
        <v>24.16</v>
      </c>
      <c r="L10" s="11" t="s">
        <v>63</v>
      </c>
    </row>
    <row r="11" spans="1:12" ht="25.5" customHeight="1" x14ac:dyDescent="0.25">
      <c r="A11" s="6">
        <v>7</v>
      </c>
      <c r="B11" s="5" t="s">
        <v>23</v>
      </c>
      <c r="C11" s="6" t="s">
        <v>30</v>
      </c>
      <c r="D11" s="6" t="s">
        <v>40</v>
      </c>
      <c r="E11" s="6" t="s">
        <v>41</v>
      </c>
      <c r="F11" s="6" t="s">
        <v>42</v>
      </c>
      <c r="G11" s="29"/>
      <c r="H11" s="5">
        <v>7</v>
      </c>
      <c r="I11" s="19" t="s">
        <v>56</v>
      </c>
      <c r="J11" s="11" t="s">
        <v>51</v>
      </c>
      <c r="K11" s="11">
        <v>31.03</v>
      </c>
      <c r="L11" s="11" t="s">
        <v>66</v>
      </c>
    </row>
    <row r="12" spans="1:12" ht="25.5" x14ac:dyDescent="0.25">
      <c r="A12" s="6"/>
      <c r="B12" s="5" t="s">
        <v>24</v>
      </c>
      <c r="C12" s="6"/>
      <c r="D12" s="6"/>
      <c r="E12" s="6"/>
      <c r="F12" s="6"/>
      <c r="G12" s="29"/>
      <c r="H12" s="5">
        <v>8</v>
      </c>
      <c r="I12" s="19" t="s">
        <v>57</v>
      </c>
      <c r="J12" s="11" t="s">
        <v>51</v>
      </c>
      <c r="K12" s="11">
        <v>5.21</v>
      </c>
      <c r="L12" s="11" t="s">
        <v>67</v>
      </c>
    </row>
    <row r="13" spans="1:12" ht="25.5" x14ac:dyDescent="0.25">
      <c r="A13" s="5">
        <v>8</v>
      </c>
      <c r="B13" s="5" t="s">
        <v>25</v>
      </c>
      <c r="C13" s="5" t="s">
        <v>31</v>
      </c>
      <c r="D13" s="5" t="s">
        <v>43</v>
      </c>
      <c r="E13" s="5" t="s">
        <v>43</v>
      </c>
      <c r="F13" s="5" t="s">
        <v>43</v>
      </c>
      <c r="G13" s="29"/>
      <c r="H13" s="5">
        <v>9</v>
      </c>
      <c r="I13" s="19" t="s">
        <v>58</v>
      </c>
      <c r="J13" s="11" t="s">
        <v>51</v>
      </c>
      <c r="K13" s="11">
        <v>0.75</v>
      </c>
      <c r="L13" s="11" t="s">
        <v>68</v>
      </c>
    </row>
    <row r="14" spans="1:12" x14ac:dyDescent="0.25">
      <c r="A14" s="13"/>
      <c r="B14" s="14"/>
      <c r="C14" s="14"/>
      <c r="D14" s="14"/>
      <c r="E14" s="14"/>
      <c r="F14" s="14"/>
      <c r="G14" s="14"/>
      <c r="H14" s="4">
        <v>10</v>
      </c>
      <c r="I14" s="19" t="s">
        <v>59</v>
      </c>
      <c r="J14" s="11" t="s">
        <v>51</v>
      </c>
      <c r="K14" s="11">
        <v>11.35</v>
      </c>
      <c r="L14" s="11" t="s">
        <v>69</v>
      </c>
    </row>
    <row r="15" spans="1:12" x14ac:dyDescent="0.25">
      <c r="A15" s="10"/>
      <c r="B15" s="12" t="s">
        <v>72</v>
      </c>
      <c r="C15" s="12"/>
      <c r="D15" s="12"/>
      <c r="E15" s="17"/>
      <c r="F15" s="14"/>
      <c r="G15" s="14"/>
      <c r="H15" s="4">
        <v>11</v>
      </c>
      <c r="I15" s="19" t="s">
        <v>60</v>
      </c>
      <c r="J15" s="11" t="s">
        <v>51</v>
      </c>
      <c r="K15" s="11">
        <v>1.25</v>
      </c>
      <c r="L15" s="11" t="s">
        <v>70</v>
      </c>
    </row>
    <row r="16" spans="1:12" ht="25.5" x14ac:dyDescent="0.25">
      <c r="A16" s="10" t="s">
        <v>0</v>
      </c>
      <c r="B16" s="20" t="s">
        <v>73</v>
      </c>
      <c r="C16" s="30" t="s">
        <v>74</v>
      </c>
      <c r="D16" s="30" t="s">
        <v>75</v>
      </c>
      <c r="E16" s="16"/>
      <c r="F16" s="16"/>
      <c r="G16" s="16"/>
      <c r="H16" s="4">
        <v>12</v>
      </c>
      <c r="I16" s="19" t="s">
        <v>104</v>
      </c>
      <c r="J16" s="33" t="s">
        <v>62</v>
      </c>
      <c r="K16" s="33">
        <v>2649</v>
      </c>
      <c r="L16" s="33" t="s">
        <v>71</v>
      </c>
    </row>
    <row r="17" spans="1:12" ht="25.5" x14ac:dyDescent="0.25">
      <c r="A17" s="32">
        <v>1</v>
      </c>
      <c r="B17" s="19" t="s">
        <v>76</v>
      </c>
      <c r="C17" s="11">
        <v>0</v>
      </c>
      <c r="D17" s="11">
        <v>0</v>
      </c>
      <c r="E17" s="16"/>
      <c r="F17" s="16"/>
      <c r="G17" s="16"/>
      <c r="H17" s="4">
        <v>13</v>
      </c>
      <c r="I17" s="19" t="s">
        <v>105</v>
      </c>
      <c r="J17" s="33" t="s">
        <v>62</v>
      </c>
      <c r="K17" s="33">
        <v>2375.16</v>
      </c>
      <c r="L17" s="33" t="s">
        <v>71</v>
      </c>
    </row>
    <row r="18" spans="1:12" x14ac:dyDescent="0.25">
      <c r="A18" s="4">
        <v>2</v>
      </c>
      <c r="B18" s="19" t="s">
        <v>77</v>
      </c>
      <c r="C18" s="11">
        <v>0</v>
      </c>
      <c r="D18" s="11">
        <v>0</v>
      </c>
      <c r="E18" s="16"/>
      <c r="F18" s="16"/>
      <c r="G18" s="16"/>
      <c r="H18" s="4">
        <v>14</v>
      </c>
      <c r="I18" s="19" t="s">
        <v>106</v>
      </c>
      <c r="J18" s="33" t="s">
        <v>62</v>
      </c>
      <c r="K18" s="33">
        <v>1953.64</v>
      </c>
      <c r="L18" s="33" t="s">
        <v>71</v>
      </c>
    </row>
    <row r="19" spans="1:12" x14ac:dyDescent="0.25">
      <c r="A19" s="32">
        <v>3</v>
      </c>
      <c r="B19" s="19" t="s">
        <v>78</v>
      </c>
      <c r="C19" s="11">
        <v>0</v>
      </c>
      <c r="D19" s="11">
        <v>0</v>
      </c>
      <c r="E19" s="16"/>
      <c r="F19" s="16"/>
      <c r="G19" s="16"/>
      <c r="H19" s="4">
        <v>15</v>
      </c>
      <c r="I19" s="19" t="s">
        <v>107</v>
      </c>
      <c r="J19" s="33" t="s">
        <v>62</v>
      </c>
      <c r="K19" s="33">
        <v>1751.68</v>
      </c>
      <c r="L19" s="33" t="s">
        <v>71</v>
      </c>
    </row>
    <row r="20" spans="1:12" x14ac:dyDescent="0.25">
      <c r="A20" s="4">
        <v>4</v>
      </c>
      <c r="B20" s="19" t="s">
        <v>79</v>
      </c>
      <c r="C20" s="11">
        <v>0</v>
      </c>
      <c r="D20" s="11">
        <v>0</v>
      </c>
      <c r="E20" s="16"/>
      <c r="F20" s="16"/>
      <c r="G20" s="16"/>
      <c r="H20" s="21" t="s">
        <v>147</v>
      </c>
      <c r="I20" s="34" t="s">
        <v>61</v>
      </c>
      <c r="J20" s="16"/>
      <c r="K20" s="47"/>
      <c r="L20" s="46"/>
    </row>
    <row r="21" spans="1:12" x14ac:dyDescent="0.25">
      <c r="A21" s="32">
        <v>5</v>
      </c>
      <c r="B21" s="19" t="s">
        <v>80</v>
      </c>
      <c r="C21" s="11">
        <v>0</v>
      </c>
      <c r="D21" s="11">
        <v>0</v>
      </c>
      <c r="E21" s="16"/>
      <c r="F21" s="16"/>
      <c r="G21" s="16"/>
      <c r="H21" s="39">
        <v>16</v>
      </c>
      <c r="I21" s="19" t="s">
        <v>108</v>
      </c>
      <c r="J21" s="33" t="s">
        <v>51</v>
      </c>
      <c r="K21" s="33">
        <v>0.31</v>
      </c>
      <c r="L21" s="11" t="s">
        <v>131</v>
      </c>
    </row>
    <row r="22" spans="1:12" x14ac:dyDescent="0.25">
      <c r="A22" s="4">
        <v>6</v>
      </c>
      <c r="B22" s="19" t="s">
        <v>81</v>
      </c>
      <c r="C22" s="11">
        <v>0</v>
      </c>
      <c r="D22" s="11">
        <v>0</v>
      </c>
      <c r="E22" s="16"/>
      <c r="F22" s="16"/>
      <c r="G22" s="16"/>
      <c r="H22" s="39">
        <v>17</v>
      </c>
      <c r="I22" s="19" t="s">
        <v>109</v>
      </c>
      <c r="J22" s="33" t="s">
        <v>132</v>
      </c>
      <c r="K22" s="11">
        <v>95.26</v>
      </c>
      <c r="L22" s="11" t="s">
        <v>134</v>
      </c>
    </row>
    <row r="23" spans="1:12" x14ac:dyDescent="0.25">
      <c r="A23" s="32">
        <v>7</v>
      </c>
      <c r="B23" s="19" t="s">
        <v>82</v>
      </c>
      <c r="C23" s="11">
        <v>0</v>
      </c>
      <c r="D23" s="11">
        <v>0</v>
      </c>
      <c r="E23" s="16"/>
      <c r="F23" s="16"/>
      <c r="G23" s="16"/>
      <c r="H23" s="39">
        <v>18</v>
      </c>
      <c r="I23" s="19" t="s">
        <v>110</v>
      </c>
      <c r="J23" s="33" t="s">
        <v>51</v>
      </c>
      <c r="K23" s="33">
        <v>0.46</v>
      </c>
      <c r="L23" s="11" t="s">
        <v>135</v>
      </c>
    </row>
    <row r="24" spans="1:12" x14ac:dyDescent="0.25">
      <c r="A24" s="4">
        <v>8</v>
      </c>
      <c r="B24" s="19" t="s">
        <v>83</v>
      </c>
      <c r="C24" s="11">
        <v>0</v>
      </c>
      <c r="D24" s="11">
        <v>0</v>
      </c>
      <c r="E24" s="16"/>
      <c r="F24" s="16"/>
      <c r="G24" s="16"/>
      <c r="H24" s="39">
        <v>19</v>
      </c>
      <c r="I24" s="19" t="s">
        <v>111</v>
      </c>
      <c r="J24" s="33" t="s">
        <v>132</v>
      </c>
      <c r="K24" s="11">
        <v>118.24</v>
      </c>
      <c r="L24" s="11" t="s">
        <v>136</v>
      </c>
    </row>
    <row r="25" spans="1:12" ht="18.75" x14ac:dyDescent="0.25">
      <c r="A25" s="32">
        <v>9</v>
      </c>
      <c r="B25" s="19" t="s">
        <v>84</v>
      </c>
      <c r="C25" s="11">
        <v>14.8</v>
      </c>
      <c r="D25" s="11">
        <v>1.1100000000000001</v>
      </c>
      <c r="E25" s="16"/>
      <c r="F25" s="16"/>
      <c r="G25" s="16"/>
      <c r="H25" s="39">
        <v>20</v>
      </c>
      <c r="I25" s="19" t="s">
        <v>112</v>
      </c>
      <c r="J25" s="33" t="s">
        <v>51</v>
      </c>
      <c r="K25" s="33">
        <v>0.16</v>
      </c>
      <c r="L25" s="11" t="s">
        <v>134</v>
      </c>
    </row>
    <row r="26" spans="1:12" x14ac:dyDescent="0.25">
      <c r="A26" s="4">
        <v>10</v>
      </c>
      <c r="B26" s="19" t="s">
        <v>85</v>
      </c>
      <c r="C26" s="11">
        <v>0</v>
      </c>
      <c r="D26" s="11">
        <v>0</v>
      </c>
      <c r="E26" s="16"/>
      <c r="F26" s="16"/>
      <c r="G26" s="16"/>
      <c r="H26" s="39">
        <v>21</v>
      </c>
      <c r="I26" s="19" t="s">
        <v>113</v>
      </c>
      <c r="J26" s="33" t="s">
        <v>51</v>
      </c>
      <c r="K26" s="11">
        <v>0.09</v>
      </c>
      <c r="L26" s="11" t="s">
        <v>134</v>
      </c>
    </row>
    <row r="27" spans="1:12" x14ac:dyDescent="0.25">
      <c r="A27" s="32">
        <v>11</v>
      </c>
      <c r="B27" s="19" t="s">
        <v>86</v>
      </c>
      <c r="C27" s="11">
        <v>146.24</v>
      </c>
      <c r="D27" s="11">
        <v>10.99</v>
      </c>
      <c r="E27" s="16"/>
      <c r="F27" s="16"/>
      <c r="G27" s="16"/>
      <c r="H27" s="39">
        <v>22</v>
      </c>
      <c r="I27" s="19" t="s">
        <v>114</v>
      </c>
      <c r="J27" s="33" t="s">
        <v>51</v>
      </c>
      <c r="K27" s="33">
        <v>73.75</v>
      </c>
      <c r="L27" s="11" t="s">
        <v>136</v>
      </c>
    </row>
    <row r="28" spans="1:12" x14ac:dyDescent="0.25">
      <c r="A28" s="4">
        <v>12</v>
      </c>
      <c r="B28" s="19" t="s">
        <v>87</v>
      </c>
      <c r="C28" s="11">
        <v>0</v>
      </c>
      <c r="D28" s="11">
        <v>0</v>
      </c>
      <c r="E28" s="16"/>
      <c r="F28" s="16"/>
      <c r="G28" s="16"/>
      <c r="H28" s="39">
        <v>23</v>
      </c>
      <c r="I28" s="19" t="s">
        <v>115</v>
      </c>
      <c r="J28" s="33" t="s">
        <v>132</v>
      </c>
      <c r="K28" s="11" t="s">
        <v>137</v>
      </c>
      <c r="L28" s="11" t="s">
        <v>134</v>
      </c>
    </row>
    <row r="29" spans="1:12" x14ac:dyDescent="0.25">
      <c r="A29" s="32">
        <v>13</v>
      </c>
      <c r="B29" s="19" t="s">
        <v>88</v>
      </c>
      <c r="C29" s="11">
        <v>0</v>
      </c>
      <c r="D29" s="11">
        <v>0</v>
      </c>
      <c r="E29" s="16"/>
      <c r="F29" s="16"/>
      <c r="G29" s="16"/>
      <c r="H29" s="39">
        <v>24</v>
      </c>
      <c r="I29" s="19" t="s">
        <v>116</v>
      </c>
      <c r="J29" s="33" t="s">
        <v>132</v>
      </c>
      <c r="K29" s="11" t="s">
        <v>138</v>
      </c>
      <c r="L29" s="11" t="s">
        <v>134</v>
      </c>
    </row>
    <row r="30" spans="1:12" x14ac:dyDescent="0.25">
      <c r="A30" s="4">
        <v>14</v>
      </c>
      <c r="B30" s="19" t="s">
        <v>89</v>
      </c>
      <c r="C30" s="11">
        <v>162.12</v>
      </c>
      <c r="D30" s="11">
        <v>12.19</v>
      </c>
      <c r="E30" s="16"/>
      <c r="F30" s="16"/>
      <c r="G30" s="16"/>
      <c r="H30" s="39">
        <v>25</v>
      </c>
      <c r="I30" s="19" t="s">
        <v>117</v>
      </c>
      <c r="J30" s="33" t="s">
        <v>132</v>
      </c>
      <c r="K30" s="11">
        <v>31.62</v>
      </c>
      <c r="L30" s="11" t="s">
        <v>134</v>
      </c>
    </row>
    <row r="31" spans="1:12" x14ac:dyDescent="0.25">
      <c r="A31" s="32">
        <v>15</v>
      </c>
      <c r="B31" s="19" t="s">
        <v>90</v>
      </c>
      <c r="C31" s="11">
        <v>0</v>
      </c>
      <c r="D31" s="11">
        <v>0</v>
      </c>
      <c r="E31" s="16"/>
      <c r="F31" s="16"/>
      <c r="G31" s="16"/>
      <c r="H31" s="39">
        <v>26</v>
      </c>
      <c r="I31" s="19" t="s">
        <v>118</v>
      </c>
      <c r="J31" s="33" t="s">
        <v>51</v>
      </c>
      <c r="K31" s="11">
        <v>0.5</v>
      </c>
      <c r="L31" s="11" t="s">
        <v>134</v>
      </c>
    </row>
    <row r="32" spans="1:12" x14ac:dyDescent="0.25">
      <c r="A32" s="4">
        <v>16</v>
      </c>
      <c r="B32" s="19" t="s">
        <v>91</v>
      </c>
      <c r="C32" s="11">
        <v>22.6</v>
      </c>
      <c r="D32" s="11">
        <v>1.69</v>
      </c>
      <c r="E32" s="16"/>
      <c r="F32" s="16"/>
      <c r="G32" s="16"/>
      <c r="H32" s="39">
        <v>27</v>
      </c>
      <c r="I32" s="19" t="s">
        <v>119</v>
      </c>
      <c r="J32" s="33" t="s">
        <v>51</v>
      </c>
      <c r="K32" s="11">
        <v>0.2</v>
      </c>
      <c r="L32" s="11" t="s">
        <v>134</v>
      </c>
    </row>
    <row r="33" spans="1:12" x14ac:dyDescent="0.25">
      <c r="A33" s="32">
        <v>17</v>
      </c>
      <c r="B33" s="19" t="s">
        <v>92</v>
      </c>
      <c r="C33" s="11">
        <v>240.04</v>
      </c>
      <c r="D33" s="11">
        <v>18.04</v>
      </c>
      <c r="E33" s="16"/>
      <c r="F33" s="16"/>
      <c r="G33" s="16"/>
      <c r="H33" s="39">
        <v>28</v>
      </c>
      <c r="I33" s="19" t="s">
        <v>120</v>
      </c>
      <c r="J33" s="33" t="s">
        <v>132</v>
      </c>
      <c r="K33" s="11">
        <v>16.39</v>
      </c>
      <c r="L33" s="11" t="s">
        <v>134</v>
      </c>
    </row>
    <row r="34" spans="1:12" x14ac:dyDescent="0.25">
      <c r="A34" s="4">
        <v>18</v>
      </c>
      <c r="B34" s="19" t="s">
        <v>93</v>
      </c>
      <c r="C34" s="11">
        <v>0</v>
      </c>
      <c r="D34" s="11">
        <v>0</v>
      </c>
      <c r="E34" s="16"/>
      <c r="F34" s="16"/>
      <c r="G34" s="16"/>
      <c r="H34" s="39">
        <v>29</v>
      </c>
      <c r="I34" s="19" t="s">
        <v>121</v>
      </c>
      <c r="J34" s="33" t="s">
        <v>132</v>
      </c>
      <c r="K34" s="11" t="s">
        <v>139</v>
      </c>
      <c r="L34" s="11" t="s">
        <v>134</v>
      </c>
    </row>
    <row r="35" spans="1:12" x14ac:dyDescent="0.25">
      <c r="A35" s="32">
        <v>19</v>
      </c>
      <c r="B35" s="19" t="s">
        <v>94</v>
      </c>
      <c r="C35" s="11">
        <v>0</v>
      </c>
      <c r="D35" s="11">
        <v>0</v>
      </c>
      <c r="E35" s="16"/>
      <c r="F35" s="16"/>
      <c r="G35" s="16"/>
      <c r="H35" s="39">
        <v>30</v>
      </c>
      <c r="I35" s="19" t="s">
        <v>122</v>
      </c>
      <c r="J35" s="33" t="s">
        <v>132</v>
      </c>
      <c r="K35" s="11">
        <v>25.34</v>
      </c>
      <c r="L35" s="11" t="s">
        <v>134</v>
      </c>
    </row>
    <row r="36" spans="1:12" x14ac:dyDescent="0.25">
      <c r="A36" s="4">
        <v>20</v>
      </c>
      <c r="B36" s="19" t="s">
        <v>95</v>
      </c>
      <c r="C36" s="11">
        <v>0</v>
      </c>
      <c r="D36" s="11">
        <v>0</v>
      </c>
      <c r="H36" s="39">
        <v>31</v>
      </c>
      <c r="I36" s="19" t="s">
        <v>123</v>
      </c>
      <c r="J36" s="33" t="s">
        <v>132</v>
      </c>
      <c r="K36" s="11" t="s">
        <v>140</v>
      </c>
      <c r="L36" s="11" t="s">
        <v>134</v>
      </c>
    </row>
    <row r="37" spans="1:12" x14ac:dyDescent="0.25">
      <c r="A37" s="32">
        <v>21</v>
      </c>
      <c r="B37" s="19" t="s">
        <v>96</v>
      </c>
      <c r="C37" s="11">
        <v>0</v>
      </c>
      <c r="D37" s="11">
        <v>0</v>
      </c>
      <c r="H37" s="39">
        <v>32</v>
      </c>
      <c r="I37" s="19" t="s">
        <v>124</v>
      </c>
      <c r="J37" s="33" t="s">
        <v>132</v>
      </c>
      <c r="K37" s="11" t="s">
        <v>141</v>
      </c>
      <c r="L37" s="11" t="s">
        <v>134</v>
      </c>
    </row>
    <row r="38" spans="1:12" x14ac:dyDescent="0.25">
      <c r="A38" s="4">
        <v>22</v>
      </c>
      <c r="B38" s="19" t="s">
        <v>97</v>
      </c>
      <c r="C38" s="11">
        <v>0</v>
      </c>
      <c r="D38" s="11">
        <v>0</v>
      </c>
      <c r="H38" s="39">
        <v>33</v>
      </c>
      <c r="I38" s="19" t="s">
        <v>125</v>
      </c>
      <c r="J38" s="33" t="s">
        <v>132</v>
      </c>
      <c r="K38" s="11">
        <v>13.72</v>
      </c>
      <c r="L38" s="11" t="s">
        <v>134</v>
      </c>
    </row>
    <row r="39" spans="1:12" x14ac:dyDescent="0.25">
      <c r="A39" s="32"/>
      <c r="B39" s="19" t="s">
        <v>98</v>
      </c>
      <c r="C39" s="11"/>
      <c r="D39" s="11"/>
      <c r="H39" s="39">
        <v>34</v>
      </c>
      <c r="I39" s="19" t="s">
        <v>126</v>
      </c>
      <c r="J39" s="33" t="s">
        <v>132</v>
      </c>
      <c r="K39" s="11">
        <v>44.86</v>
      </c>
      <c r="L39" s="11" t="s">
        <v>134</v>
      </c>
    </row>
    <row r="40" spans="1:12" x14ac:dyDescent="0.25">
      <c r="A40" s="4">
        <v>23</v>
      </c>
      <c r="B40" s="19" t="s">
        <v>99</v>
      </c>
      <c r="C40" s="11">
        <v>341.04</v>
      </c>
      <c r="D40" s="11">
        <v>25.63</v>
      </c>
      <c r="H40" s="39">
        <v>35</v>
      </c>
      <c r="I40" s="19" t="s">
        <v>127</v>
      </c>
      <c r="J40" s="33" t="s">
        <v>51</v>
      </c>
      <c r="K40" s="11">
        <v>0.94</v>
      </c>
      <c r="L40" s="11" t="s">
        <v>134</v>
      </c>
    </row>
    <row r="41" spans="1:12" x14ac:dyDescent="0.25">
      <c r="A41" s="32">
        <v>24</v>
      </c>
      <c r="B41" s="19" t="s">
        <v>100</v>
      </c>
      <c r="C41" s="11">
        <v>403.6</v>
      </c>
      <c r="D41" s="11">
        <v>30.34</v>
      </c>
      <c r="H41" s="39">
        <v>36</v>
      </c>
      <c r="I41" s="19" t="s">
        <v>128</v>
      </c>
      <c r="J41" s="33" t="s">
        <v>51</v>
      </c>
      <c r="K41" s="11">
        <v>75.86</v>
      </c>
      <c r="L41" s="11" t="s">
        <v>142</v>
      </c>
    </row>
    <row r="42" spans="1:12" x14ac:dyDescent="0.25">
      <c r="A42" s="4">
        <v>25</v>
      </c>
      <c r="B42" s="19" t="s">
        <v>101</v>
      </c>
      <c r="C42" s="11">
        <v>0</v>
      </c>
      <c r="D42" s="11">
        <v>0</v>
      </c>
      <c r="H42" s="39">
        <v>37</v>
      </c>
      <c r="I42" s="19" t="s">
        <v>129</v>
      </c>
      <c r="J42" s="33" t="s">
        <v>133</v>
      </c>
      <c r="K42" s="11">
        <v>24.82</v>
      </c>
      <c r="L42" s="11" t="s">
        <v>143</v>
      </c>
    </row>
    <row r="43" spans="1:12" x14ac:dyDescent="0.25">
      <c r="A43" s="32">
        <v>26</v>
      </c>
      <c r="B43" s="19" t="s">
        <v>102</v>
      </c>
      <c r="C43" s="11">
        <v>0</v>
      </c>
      <c r="D43" s="11">
        <v>0</v>
      </c>
      <c r="H43" s="39">
        <v>38</v>
      </c>
      <c r="I43" s="19" t="s">
        <v>130</v>
      </c>
      <c r="J43" s="33" t="s">
        <v>51</v>
      </c>
      <c r="K43" s="11">
        <v>13.42</v>
      </c>
      <c r="L43" s="11" t="s">
        <v>144</v>
      </c>
    </row>
    <row r="44" spans="1:12" x14ac:dyDescent="0.25">
      <c r="A44" s="2"/>
      <c r="B44" s="20" t="s">
        <v>103</v>
      </c>
      <c r="C44" s="21">
        <f>SUM(C17:C43)</f>
        <v>1330.44</v>
      </c>
      <c r="D44" s="31">
        <v>1</v>
      </c>
      <c r="H44" s="49" t="s">
        <v>148</v>
      </c>
      <c r="I44" s="50"/>
      <c r="J44" s="50"/>
      <c r="K44" s="50"/>
      <c r="L44" s="51"/>
    </row>
    <row r="45" spans="1:12" x14ac:dyDescent="0.25">
      <c r="A45" s="12" t="s">
        <v>150</v>
      </c>
      <c r="B45" s="12"/>
      <c r="C45" s="12"/>
      <c r="D45" s="12"/>
    </row>
    <row r="46" spans="1:12" x14ac:dyDescent="0.25">
      <c r="C46" s="1"/>
    </row>
    <row r="47" spans="1:12" x14ac:dyDescent="0.25">
      <c r="C47" s="1"/>
    </row>
  </sheetData>
  <mergeCells count="18">
    <mergeCell ref="F2:F3"/>
    <mergeCell ref="H1:L1"/>
    <mergeCell ref="A45:D45"/>
    <mergeCell ref="H44:L44"/>
    <mergeCell ref="A1:F1"/>
    <mergeCell ref="B15:D15"/>
    <mergeCell ref="A2:A3"/>
    <mergeCell ref="B2:B3"/>
    <mergeCell ref="C2:C3"/>
    <mergeCell ref="D2:D3"/>
    <mergeCell ref="E2:E3"/>
    <mergeCell ref="D6:F6"/>
    <mergeCell ref="D10:F10"/>
    <mergeCell ref="A11:A12"/>
    <mergeCell ref="C11:C12"/>
    <mergeCell ref="D11:D12"/>
    <mergeCell ref="E11:E12"/>
    <mergeCell ref="F11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Jagadiswar Ghosh</dc:creator>
  <cp:lastModifiedBy>Jagadiswar Ghosh</cp:lastModifiedBy>
  <dcterms:created xsi:type="dcterms:W3CDTF">2025-01-14T06:52:19Z</dcterms:created>
  <dcterms:modified xsi:type="dcterms:W3CDTF">2025-01-15T12:53:25Z</dcterms:modified>
</cp:coreProperties>
</file>